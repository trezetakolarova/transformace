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rezetka/Desktop/"/>
    </mc:Choice>
  </mc:AlternateContent>
  <xr:revisionPtr revIDLastSave="0" documentId="13_ncr:1_{114DAE1F-9C5F-814F-8EEE-4925A84B1373}" xr6:coauthVersionLast="47" xr6:coauthVersionMax="47" xr10:uidLastSave="{00000000-0000-0000-0000-000000000000}"/>
  <bookViews>
    <workbookView xWindow="0" yWindow="740" windowWidth="29400" windowHeight="17320" xr2:uid="{00000000-000D-0000-FFFF-FFFF00000000}"/>
  </bookViews>
  <sheets>
    <sheet name="Agenda detail" sheetId="2" r:id="rId1"/>
    <sheet name="Dashboard" sheetId="1" r:id="rId2"/>
    <sheet name="Legend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1" i="1"/>
  <c r="C31" i="1"/>
  <c r="B31" i="1"/>
  <c r="A31" i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A15" i="1"/>
  <c r="B15" i="1" s="1"/>
  <c r="A14" i="1"/>
  <c r="B14" i="1" s="1"/>
  <c r="E13" i="1"/>
  <c r="A13" i="1"/>
  <c r="B13" i="1" s="1"/>
  <c r="H12" i="1"/>
  <c r="D12" i="1"/>
  <c r="E12" i="1" s="1"/>
  <c r="A12" i="1"/>
  <c r="B12" i="1" s="1"/>
  <c r="G11" i="1"/>
  <c r="H11" i="1" s="1"/>
  <c r="D11" i="1"/>
  <c r="E11" i="1" s="1"/>
  <c r="A11" i="1"/>
  <c r="B11" i="1" s="1"/>
  <c r="G10" i="1"/>
  <c r="H10" i="1" s="1"/>
  <c r="D10" i="1"/>
  <c r="E10" i="1" s="1"/>
  <c r="A10" i="1"/>
  <c r="B10" i="1" s="1"/>
  <c r="G9" i="1"/>
  <c r="H9" i="1" s="1"/>
  <c r="D9" i="1"/>
  <c r="E9" i="1" s="1"/>
  <c r="A9" i="1"/>
  <c r="B9" i="1" s="1"/>
  <c r="J5" i="1"/>
  <c r="H5" i="1"/>
  <c r="F5" i="1"/>
  <c r="D5" i="1"/>
  <c r="B5" i="1"/>
</calcChain>
</file>

<file path=xl/sharedStrings.xml><?xml version="1.0" encoding="utf-8"?>
<sst xmlns="http://schemas.openxmlformats.org/spreadsheetml/2006/main" count="228" uniqueCount="119">
  <si>
    <t>#</t>
  </si>
  <si>
    <t>Oblast</t>
  </si>
  <si>
    <t>Oblast 2</t>
  </si>
  <si>
    <t>Agenda</t>
  </si>
  <si>
    <t>Původní stav / popis</t>
  </si>
  <si>
    <t>Cílový stav / výstup</t>
  </si>
  <si>
    <t>Aktuální stav</t>
  </si>
  <si>
    <t>Fáze</t>
  </si>
  <si>
    <t>Priorita</t>
  </si>
  <si>
    <t>Náročnost</t>
  </si>
  <si>
    <t>Semafor</t>
  </si>
  <si>
    <t>Co se udělalo</t>
  </si>
  <si>
    <t>Co se udělá</t>
  </si>
  <si>
    <t>Rozhodnutí / Rizika</t>
  </si>
  <si>
    <t>% Hotovo</t>
  </si>
  <si>
    <t>Obchod a náběh zakázek</t>
  </si>
  <si>
    <t>Sběr obchodních požadavků</t>
  </si>
  <si>
    <t>Probíhá / řeší se</t>
  </si>
  <si>
    <t>Žlutá</t>
  </si>
  <si>
    <t>Vytvořila se prio matice
Funguje ad-hoc</t>
  </si>
  <si>
    <t>Sepíše se jednoduchý návod, jak převést nový požadavek do prioritizované příležitosti.</t>
  </si>
  <si>
    <t>Prioritizace obchodních příležitostí</t>
  </si>
  <si>
    <t xml:space="preserve">Vytvořila se prio matice
</t>
  </si>
  <si>
    <t>Matice se popíše jasnými kritérii, vlastníky a rytmem revizí, aby fungovala samostatně bez ústního vysvětlování.</t>
  </si>
  <si>
    <t>Změna prioritizace v rámci bežícího portfolia aktivit</t>
  </si>
  <si>
    <t>Červená</t>
  </si>
  <si>
    <t>Nastaví se proces hodnocení na základě "time, money, effort"
Nastaví se schvalovací proces změn</t>
  </si>
  <si>
    <t>Mapování stávajících procesů - "náběh zakázky"</t>
  </si>
  <si>
    <t>Vytvoří se checklisty, podle typů dodávky (HW / SW / kombinace)</t>
  </si>
  <si>
    <t xml:space="preserve">Projektové a procesní řízení </t>
  </si>
  <si>
    <t>Vytvoření projektového portfolia</t>
  </si>
  <si>
    <t>Zelená</t>
  </si>
  <si>
    <t xml:space="preserve">Návrh na úložiště
</t>
  </si>
  <si>
    <t>Popíše se proces
Vytvoří se úložiště</t>
  </si>
  <si>
    <t>Finance</t>
  </si>
  <si>
    <t>Finanční řízení projektů / Business Case / Forecasting</t>
  </si>
  <si>
    <t>Vyvtvoří se pravidla a šablony pro výpočet business Case</t>
  </si>
  <si>
    <t>Projekty</t>
  </si>
  <si>
    <t>Návrh na úložiště
Návrh Project charteru</t>
  </si>
  <si>
    <t>Popíše se proces
Vytvoří se dokumenty</t>
  </si>
  <si>
    <t>Projekt Agilita vs. Waterfall vs. DevOps</t>
  </si>
  <si>
    <t>Vytvoří se metodika pro vedení projektů</t>
  </si>
  <si>
    <t>Procesy a operativa</t>
  </si>
  <si>
    <t>Seznam procesů pro jednotlivá oddělení</t>
  </si>
  <si>
    <t>Popsány procesy skladu</t>
  </si>
  <si>
    <t>Popíše se proces Helplinky</t>
  </si>
  <si>
    <t>HR a organizační struktura</t>
  </si>
  <si>
    <t>Rozdělení Rolí a Kompetencí</t>
  </si>
  <si>
    <t>Udělal se návrh</t>
  </si>
  <si>
    <t>Návrh se schválí a zreviduje</t>
  </si>
  <si>
    <t>Nastavení komunikace a přesahu jednotlivých teamu</t>
  </si>
  <si>
    <t>Popíšou se procesy jednotlivých týmů
Určí se vazby</t>
  </si>
  <si>
    <t>Nábor chybějících rolí</t>
  </si>
  <si>
    <t>Pozastaveno</t>
  </si>
  <si>
    <t>Operátor Helplinky
Security &amp; Compliance Specialist</t>
  </si>
  <si>
    <t>Role Provozního manažera - přesun kompetencí</t>
  </si>
  <si>
    <t>Hotovo / udržovat</t>
  </si>
  <si>
    <t>Nový provozní manažer - Radek</t>
  </si>
  <si>
    <t>Popis klíčových pozic</t>
  </si>
  <si>
    <t>Finanční ředitelka
TAPYGO product owner
Vedoucí skladu
Security &amp; Compliance Specialist</t>
  </si>
  <si>
    <t>Provozní manažer</t>
  </si>
  <si>
    <t>Návrh struktury obchodního týmu a případná obměna ( KPI)</t>
  </si>
  <si>
    <t>Struktura je hotová</t>
  </si>
  <si>
    <t>Revize HR dokumentů</t>
  </si>
  <si>
    <t>Security &amp; IT governance</t>
  </si>
  <si>
    <t>PCI DSS</t>
  </si>
  <si>
    <t>Hotovo</t>
  </si>
  <si>
    <t>P2PE</t>
  </si>
  <si>
    <t>V plánu</t>
  </si>
  <si>
    <t>PCI PIN</t>
  </si>
  <si>
    <t>CRA</t>
  </si>
  <si>
    <t>Marketing</t>
  </si>
  <si>
    <t>Soupis a návrh interních směrnic</t>
  </si>
  <si>
    <t>Návrh AI směrnice</t>
  </si>
  <si>
    <t>Nastavení KPI pro obchod</t>
  </si>
  <si>
    <t>Nastavení obchodních procesů</t>
  </si>
  <si>
    <t>Obchodní reporting</t>
  </si>
  <si>
    <t>Závěrka</t>
  </si>
  <si>
    <t>Obchodní vs finanční data</t>
  </si>
  <si>
    <t>Dokumentace - struktura a úložiště</t>
  </si>
  <si>
    <t>Vytvořen návrh na úložiště</t>
  </si>
  <si>
    <t>Udělá se struktura</t>
  </si>
  <si>
    <t>Schválení struktury</t>
  </si>
  <si>
    <t>JIRA</t>
  </si>
  <si>
    <t>Nastaveno trackování času dle klientů
Vytvořen návrh evidence projektů</t>
  </si>
  <si>
    <t>Transformace</t>
  </si>
  <si>
    <t>Řízení transformačního plánu / tracking</t>
  </si>
  <si>
    <t>Nastaven transformační tracker</t>
  </si>
  <si>
    <t>Aktualizace transformační agendy</t>
  </si>
  <si>
    <t>Management reporting &amp; controlling</t>
  </si>
  <si>
    <t>SobIT – transformační dashboard projektu</t>
  </si>
  <si>
    <t>Klientský přehled agend a stavu transformace | aktualizováno 18. 9. 2026</t>
  </si>
  <si>
    <t>Celkem agend</t>
  </si>
  <si>
    <t>Priorita 1</t>
  </si>
  <si>
    <t>Quickwiny</t>
  </si>
  <si>
    <t>Komplexní agendy</t>
  </si>
  <si>
    <t>Agendy podle oblasti</t>
  </si>
  <si>
    <t>Agendy podle priority</t>
  </si>
  <si>
    <t>Náročnost implementace</t>
  </si>
  <si>
    <t>Počet</t>
  </si>
  <si>
    <t>Neurčeno</t>
  </si>
  <si>
    <t>Bez priority</t>
  </si>
  <si>
    <t>Kde se aktuálně nacházíme / co se řeší</t>
  </si>
  <si>
    <t>Klientská interpretace</t>
  </si>
  <si>
    <t>Aktuálně / řeší se</t>
  </si>
  <si>
    <t>EVOLVE</t>
  </si>
  <si>
    <t>Dashboard čerpá pouze z listu „Agenda detail“. Souhrny jsou počítány vzorci a detailní řádky jsou přímé odkazy na zdrojová data. Změna zdrojových buněk se tak promítne do dashboardu bez ručního přepisování.</t>
  </si>
  <si>
    <t>Pole</t>
  </si>
  <si>
    <t>Vysvětlení</t>
  </si>
  <si>
    <t>Zdroj dat</t>
  </si>
  <si>
    <t>Jediným zdrojem dashboardu je list Agenda detail.</t>
  </si>
  <si>
    <t>Popis problému nebo AS-IS stavu; relevantní agendy byly aktualizovány podle zápisu ze schůzky 10. 9. 2026.</t>
  </si>
  <si>
    <t>Požadovaný TO-BE stav / konkrétní deliverable.</t>
  </si>
  <si>
    <t>Stav agendy z pracovního scope doplněný o závěry ze schůzky tam, kde se téma řešilo.</t>
  </si>
  <si>
    <t>Pomocná klasifikace odvozená z Aktuálního stavu: hotovo/udržovat, probíhá, v plánu, pozastaveno.</t>
  </si>
  <si>
    <t>1 = nejvyšší priorita; vyšší číslo = nižší priorita. Číselná priorita byla prozatím zachována</t>
  </si>
  <si>
    <t>Quickwin / Medium / Komplex; zachováno ze scope, případně doplněno pouze u nových či upřesněných agend.</t>
  </si>
  <si>
    <t>Dashboard</t>
  </si>
  <si>
    <t>Souhrnné hodnoty používají vzorce COUNTIF/COUNTA, detailní seznam používá přímé odkazy na buňky listu Agenda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</si>
</sst>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22"/>
      <color rgb="FF071824"/>
      <name val="Carlito"/>
    </font>
    <font>
      <b/>
      <sz val="13"/>
      <color rgb="FFFFFFFF"/>
      <name val="Carlito"/>
    </font>
    <font>
      <sz val="10"/>
      <color rgb="FF071824"/>
      <name val="Carlito"/>
    </font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17365D"/>
      <name val="Carlito"/>
    </font>
    <font>
      <b/>
      <sz val="16"/>
      <color rgb="FF071824"/>
      <name val="Carlito"/>
    </font>
    <font>
      <b/>
      <sz val="13"/>
      <color rgb="FF17365D"/>
      <name val="Carlito"/>
    </font>
    <font>
      <b/>
      <sz val="10"/>
      <color rgb="FF17365D"/>
      <name val="Carlito"/>
    </font>
    <font>
      <b/>
      <sz val="10"/>
      <color rgb="FF595959"/>
      <name val="Carlito"/>
    </font>
    <font>
      <b/>
      <sz val="11"/>
      <color theme="3"/>
      <name val="Carlito"/>
    </font>
    <font>
      <sz val="10"/>
      <color rgb="FF7F6000"/>
      <name val="Carlito"/>
    </font>
    <font>
      <sz val="11"/>
      <color rgb="FF7F6000"/>
      <name val="Carlito"/>
    </font>
    <font>
      <sz val="10"/>
      <color rgb="FF375623"/>
      <name val="Carlito"/>
    </font>
    <font>
      <sz val="10"/>
      <color rgb="FF595959"/>
      <name val="Carlito"/>
    </font>
    <font>
      <sz val="10"/>
      <color rgb="FF1F4E78"/>
      <name val="Carlito"/>
    </font>
    <font>
      <sz val="11"/>
      <color rgb="FF1F4E78"/>
      <name val="Carlito"/>
    </font>
    <font>
      <sz val="10"/>
      <color rgb="FF000000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071824"/>
      </patternFill>
    </fill>
    <fill>
      <patternFill patternType="solid">
        <fgColor rgb="FF00A6B4"/>
      </patternFill>
    </fill>
    <fill>
      <patternFill patternType="solid">
        <fgColor rgb="FFDDF7FA"/>
      </patternFill>
    </fill>
    <fill>
      <patternFill patternType="solid">
        <fgColor rgb="FFF4F7F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FFF2CC"/>
        <bgColor rgb="FFC0E6F5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C0E6F5"/>
      </patternFill>
    </fill>
    <fill>
      <patternFill patternType="solid">
        <fgColor rgb="FFE7E6E6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D9EAF7"/>
        <bgColor rgb="FFC0E6F5"/>
      </patternFill>
    </fill>
    <fill>
      <patternFill patternType="solid">
        <fgColor rgb="FFE2F0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2" fillId="0" borderId="0" xfId="1" applyFont="1" applyAlignment="1">
      <alignment vertical="top"/>
    </xf>
    <xf numFmtId="0" fontId="1" fillId="6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2" fillId="8" borderId="0" xfId="0" applyFont="1" applyFill="1" applyAlignment="1">
      <alignment horizontal="center" vertical="top" wrapText="1"/>
    </xf>
    <xf numFmtId="0" fontId="12" fillId="8" borderId="0" xfId="0" applyFont="1" applyFill="1" applyAlignment="1">
      <alignment vertical="top"/>
    </xf>
    <xf numFmtId="0" fontId="9" fillId="8" borderId="0" xfId="0" applyFont="1" applyFill="1" applyAlignment="1">
      <alignment horizontal="center" wrapText="1"/>
    </xf>
    <xf numFmtId="0" fontId="2" fillId="5" borderId="0" xfId="0" applyFont="1" applyFill="1" applyAlignment="1">
      <alignment vertical="top" wrapText="1"/>
    </xf>
    <xf numFmtId="0" fontId="14" fillId="10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0" fontId="11" fillId="8" borderId="0" xfId="0" applyFont="1" applyFill="1" applyAlignment="1">
      <alignment horizontal="left" wrapText="1"/>
    </xf>
    <xf numFmtId="0" fontId="11" fillId="8" borderId="0" xfId="0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11" fillId="8" borderId="0" xfId="0" applyFont="1" applyFill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2" fillId="0" borderId="0" xfId="1" applyFont="1" applyAlignment="1">
      <alignment vertical="top"/>
    </xf>
    <xf numFmtId="0" fontId="13" fillId="9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vertical="center"/>
    </xf>
    <xf numFmtId="0" fontId="8" fillId="7" borderId="0" xfId="0" applyFont="1" applyFill="1" applyAlignment="1">
      <alignment horizontal="left"/>
    </xf>
    <xf numFmtId="0" fontId="8" fillId="7" borderId="0" xfId="0" applyFont="1" applyFill="1"/>
    <xf numFmtId="0" fontId="9" fillId="7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top" wrapText="1"/>
    </xf>
    <xf numFmtId="0" fontId="15" fillId="12" borderId="0" xfId="0" applyFont="1" applyFill="1" applyAlignment="1">
      <alignment vertical="top" wrapText="1"/>
    </xf>
    <xf numFmtId="0" fontId="15" fillId="13" borderId="0" xfId="0" applyFont="1" applyFill="1" applyAlignment="1">
      <alignment vertical="top" wrapText="1"/>
    </xf>
    <xf numFmtId="0" fontId="17" fillId="14" borderId="0" xfId="0" applyFont="1" applyFill="1" applyAlignment="1">
      <alignment vertical="top" wrapText="1"/>
    </xf>
    <xf numFmtId="0" fontId="21" fillId="0" borderId="0" xfId="0" applyFont="1" applyAlignment="1">
      <alignment vertical="top" wrapText="1"/>
    </xf>
    <xf numFmtId="0" fontId="18" fillId="15" borderId="0" xfId="0" applyFont="1" applyFill="1" applyAlignment="1">
      <alignment vertical="top" wrapText="1"/>
    </xf>
    <xf numFmtId="0" fontId="19" fillId="16" borderId="0" xfId="0" applyFont="1" applyFill="1" applyAlignment="1">
      <alignment vertical="top" wrapText="1"/>
    </xf>
    <xf numFmtId="0" fontId="19" fillId="17" borderId="0" xfId="0" applyFont="1" applyFill="1" applyAlignment="1">
      <alignment vertical="top" wrapText="1"/>
    </xf>
    <xf numFmtId="0" fontId="17" fillId="18" borderId="0" xfId="0" applyFont="1" applyFill="1" applyAlignment="1">
      <alignment vertical="top" wrapText="1"/>
    </xf>
    <xf numFmtId="0" fontId="16" fillId="13" borderId="0" xfId="0" applyFont="1" applyFill="1" applyAlignment="1">
      <alignment vertical="top" wrapText="1"/>
    </xf>
    <xf numFmtId="0" fontId="16" fillId="12" borderId="0" xfId="0" applyFont="1" applyFill="1" applyAlignment="1">
      <alignment vertical="top" wrapText="1"/>
    </xf>
    <xf numFmtId="0" fontId="20" fillId="16" borderId="0" xfId="0" applyFont="1" applyFill="1" applyAlignment="1">
      <alignment vertical="top" wrapText="1"/>
    </xf>
  </cellXfs>
  <cellStyles count="2">
    <cellStyle name="Normal" xfId="1" xr:uid="{00000000-0005-0000-0000-000000000000}"/>
    <cellStyle name="Normální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/>
          <a:lstStyle/>
          <a:p>
            <a:r>
              <a:rPr lang="cs-CZ" sz="1400"/>
              <a:t>Počet agend podle oblasti</a:t>
            </a:r>
          </a:p>
        </c:rich>
      </c:tx>
      <c:layout>
        <c:manualLayout>
          <c:xMode val="edge"/>
          <c:yMode val="edge"/>
          <c:x val="0.30874543535318955"/>
          <c:y val="3.5714285714285712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Počet</c:v>
          </c:tx>
          <c:invertIfNegative val="1"/>
          <c:cat>
            <c:numRef>
              <c:f>Dashboard!$A$9:$A$15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2-4609-90FF-14205E9B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/>
          <a:lstStyle/>
          <a:p>
            <a:r>
              <a:rPr lang="cs-CZ" sz="1400"/>
              <a:t>Agendy podle priority</a:t>
            </a:r>
          </a:p>
        </c:rich>
      </c:tx>
      <c:layout>
        <c:manualLayout>
          <c:xMode val="edge"/>
          <c:yMode val="edge"/>
          <c:x val="0.16838045812455266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Počet</c:v>
          </c:tx>
          <c:invertIfNegative val="1"/>
          <c:cat>
            <c:strRef>
              <c:f>Dashboard!$D$9:$D$13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Bez priority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1-42B3-B9DA-44AEDAE23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3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gendaDetail" displayName="AgendaDetail" ref="A1:C32" totalsRowShown="0">
  <autoFilter ref="A1:C32" xr:uid="{00000000-0009-0000-0100-000002000000}"/>
  <tableColumns count="3">
    <tableColumn id="1" xr3:uid="{00000000-0010-0000-0000-000001000000}" name="#"/>
    <tableColumn id="11" xr3:uid="{2052080E-DDA4-0F46-9731-B7F21C0D9C15}" name="Oblast 2" dataDxfId="0"/>
    <tableColumn id="3" xr3:uid="{00000000-0010-0000-0000-000003000000}" name="Ag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30" zoomScaleNormal="130" workbookViewId="0">
      <pane xSplit="3" ySplit="1" topLeftCell="D7" activePane="bottomRight" state="frozen"/>
      <selection pane="topRight" activeCell="D1" sqref="D1"/>
      <selection pane="bottomLeft" activeCell="A2" sqref="A2"/>
      <selection pane="bottomRight" activeCell="D4" sqref="D4"/>
    </sheetView>
  </sheetViews>
  <sheetFormatPr baseColWidth="10" defaultColWidth="8.83203125" defaultRowHeight="15"/>
  <cols>
    <col min="1" max="1" width="6" customWidth="1"/>
    <col min="2" max="2" width="23" customWidth="1"/>
    <col min="3" max="4" width="34" customWidth="1"/>
    <col min="6" max="6" width="22.6640625" customWidth="1"/>
    <col min="7" max="7" width="28.1640625" customWidth="1"/>
    <col min="8" max="8" width="31.1640625" customWidth="1"/>
    <col min="9" max="9" width="9.1640625" bestFit="1" customWidth="1"/>
  </cols>
  <sheetData>
    <row r="1" spans="1:9" ht="16">
      <c r="A1" s="5" t="s">
        <v>0</v>
      </c>
      <c r="B1" s="5" t="s">
        <v>2</v>
      </c>
      <c r="C1" s="5" t="s">
        <v>3</v>
      </c>
      <c r="D1" s="30" t="s">
        <v>7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</row>
    <row r="2" spans="1:9" ht="48">
      <c r="A2" s="3">
        <v>1</v>
      </c>
      <c r="B2" s="3" t="s">
        <v>15</v>
      </c>
      <c r="C2" s="3" t="s">
        <v>16</v>
      </c>
      <c r="D2" s="31" t="s">
        <v>17</v>
      </c>
      <c r="E2" s="12" t="s">
        <v>18</v>
      </c>
      <c r="F2" s="12" t="s">
        <v>19</v>
      </c>
      <c r="G2" s="12" t="s">
        <v>20</v>
      </c>
      <c r="H2" s="12"/>
      <c r="I2" s="13">
        <v>0.4</v>
      </c>
    </row>
    <row r="3" spans="1:9" ht="64">
      <c r="A3" s="3">
        <v>2</v>
      </c>
      <c r="B3" s="3" t="s">
        <v>15</v>
      </c>
      <c r="C3" s="3" t="s">
        <v>21</v>
      </c>
      <c r="D3" s="32" t="s">
        <v>17</v>
      </c>
      <c r="E3" s="12" t="s">
        <v>18</v>
      </c>
      <c r="F3" s="12" t="s">
        <v>22</v>
      </c>
      <c r="G3" s="12" t="s">
        <v>23</v>
      </c>
      <c r="H3" s="12"/>
      <c r="I3" s="13">
        <v>0.2</v>
      </c>
    </row>
    <row r="4" spans="1:9" ht="64">
      <c r="A4" s="3">
        <v>3</v>
      </c>
      <c r="B4" s="3" t="s">
        <v>15</v>
      </c>
      <c r="C4" s="3" t="s">
        <v>24</v>
      </c>
      <c r="D4" s="31" t="s">
        <v>17</v>
      </c>
      <c r="E4" s="12" t="s">
        <v>25</v>
      </c>
      <c r="F4" s="12"/>
      <c r="G4" s="12" t="s">
        <v>26</v>
      </c>
      <c r="H4" s="12"/>
      <c r="I4" s="13">
        <v>0.2</v>
      </c>
    </row>
    <row r="5" spans="1:9" ht="32">
      <c r="A5" s="3">
        <v>4</v>
      </c>
      <c r="B5" s="3" t="s">
        <v>15</v>
      </c>
      <c r="C5" s="3" t="s">
        <v>27</v>
      </c>
      <c r="D5" s="32" t="s">
        <v>17</v>
      </c>
      <c r="E5" s="12" t="s">
        <v>25</v>
      </c>
      <c r="F5" s="12"/>
      <c r="G5" s="12" t="s">
        <v>28</v>
      </c>
      <c r="H5" s="12"/>
      <c r="I5" s="13">
        <v>0</v>
      </c>
    </row>
    <row r="6" spans="1:9" ht="32">
      <c r="A6" s="3">
        <v>5</v>
      </c>
      <c r="B6" s="3" t="s">
        <v>29</v>
      </c>
      <c r="C6" s="3" t="s">
        <v>30</v>
      </c>
      <c r="D6" s="31" t="s">
        <v>17</v>
      </c>
      <c r="E6" s="12" t="s">
        <v>31</v>
      </c>
      <c r="F6" s="12" t="s">
        <v>32</v>
      </c>
      <c r="G6" s="12" t="s">
        <v>33</v>
      </c>
      <c r="H6" s="12"/>
      <c r="I6" s="13">
        <v>0.2</v>
      </c>
    </row>
    <row r="7" spans="1:9" ht="32">
      <c r="A7" s="3">
        <v>6</v>
      </c>
      <c r="B7" s="3" t="s">
        <v>34</v>
      </c>
      <c r="C7" s="3" t="s">
        <v>35</v>
      </c>
      <c r="D7" s="32" t="s">
        <v>17</v>
      </c>
      <c r="E7" s="12" t="s">
        <v>18</v>
      </c>
      <c r="F7" s="12"/>
      <c r="G7" s="12" t="s">
        <v>36</v>
      </c>
      <c r="H7" s="12"/>
      <c r="I7" s="13">
        <v>0</v>
      </c>
    </row>
    <row r="8" spans="1:9" ht="32">
      <c r="A8" s="3">
        <v>7</v>
      </c>
      <c r="B8" s="3" t="s">
        <v>29</v>
      </c>
      <c r="C8" s="3" t="s">
        <v>37</v>
      </c>
      <c r="D8" s="31" t="s">
        <v>17</v>
      </c>
      <c r="E8" s="12" t="s">
        <v>31</v>
      </c>
      <c r="F8" s="12" t="s">
        <v>38</v>
      </c>
      <c r="G8" s="12" t="s">
        <v>39</v>
      </c>
      <c r="H8" s="12"/>
      <c r="I8" s="13">
        <v>0.2</v>
      </c>
    </row>
    <row r="9" spans="1:9" ht="32">
      <c r="A9" s="3">
        <v>8</v>
      </c>
      <c r="B9" s="3" t="s">
        <v>29</v>
      </c>
      <c r="C9" s="3" t="s">
        <v>40</v>
      </c>
      <c r="D9" s="32" t="s">
        <v>17</v>
      </c>
      <c r="E9" s="12" t="s">
        <v>18</v>
      </c>
      <c r="F9" s="12"/>
      <c r="G9" s="12" t="s">
        <v>41</v>
      </c>
      <c r="H9" s="12"/>
      <c r="I9" s="13">
        <v>0</v>
      </c>
    </row>
    <row r="10" spans="1:9" ht="16">
      <c r="A10" s="3">
        <v>9</v>
      </c>
      <c r="B10" s="3" t="s">
        <v>42</v>
      </c>
      <c r="C10" s="3" t="s">
        <v>43</v>
      </c>
      <c r="D10" s="31" t="s">
        <v>17</v>
      </c>
      <c r="E10" s="12" t="s">
        <v>18</v>
      </c>
      <c r="F10" s="12" t="s">
        <v>44</v>
      </c>
      <c r="G10" s="12" t="s">
        <v>45</v>
      </c>
      <c r="H10" s="12"/>
      <c r="I10" s="13">
        <v>0.2</v>
      </c>
    </row>
    <row r="11" spans="1:9" ht="16">
      <c r="A11" s="3">
        <v>10</v>
      </c>
      <c r="B11" s="3" t="s">
        <v>46</v>
      </c>
      <c r="C11" s="3" t="s">
        <v>47</v>
      </c>
      <c r="D11" s="32" t="s">
        <v>17</v>
      </c>
      <c r="E11" s="12" t="s">
        <v>31</v>
      </c>
      <c r="F11" s="12" t="s">
        <v>48</v>
      </c>
      <c r="G11" s="12" t="s">
        <v>49</v>
      </c>
      <c r="H11" s="12"/>
      <c r="I11" s="13">
        <v>0.8</v>
      </c>
    </row>
    <row r="12" spans="1:9" ht="48">
      <c r="A12" s="3">
        <v>11</v>
      </c>
      <c r="B12" s="3" t="s">
        <v>46</v>
      </c>
      <c r="C12" s="3" t="s">
        <v>50</v>
      </c>
      <c r="D12" s="31" t="s">
        <v>17</v>
      </c>
      <c r="E12" s="12" t="s">
        <v>25</v>
      </c>
      <c r="F12" s="12"/>
      <c r="G12" s="12" t="s">
        <v>51</v>
      </c>
      <c r="H12" s="12"/>
      <c r="I12" s="13">
        <v>0.2</v>
      </c>
    </row>
    <row r="13" spans="1:9" ht="32">
      <c r="A13" s="3">
        <v>12</v>
      </c>
      <c r="B13" s="3" t="s">
        <v>46</v>
      </c>
      <c r="C13" s="3" t="s">
        <v>52</v>
      </c>
      <c r="D13" s="32" t="s">
        <v>17</v>
      </c>
      <c r="E13" s="12" t="s">
        <v>31</v>
      </c>
      <c r="F13" s="12"/>
      <c r="G13" s="12" t="s">
        <v>54</v>
      </c>
      <c r="H13" s="12"/>
      <c r="I13" s="13">
        <v>0.2</v>
      </c>
    </row>
    <row r="14" spans="1:9" ht="32">
      <c r="A14" s="3">
        <v>13</v>
      </c>
      <c r="B14" s="3" t="s">
        <v>46</v>
      </c>
      <c r="C14" s="3" t="s">
        <v>55</v>
      </c>
      <c r="D14" s="33" t="s">
        <v>56</v>
      </c>
      <c r="E14" s="12" t="s">
        <v>31</v>
      </c>
      <c r="F14" s="12" t="s">
        <v>57</v>
      </c>
      <c r="G14" s="12"/>
      <c r="H14" s="12"/>
      <c r="I14" s="13">
        <v>1</v>
      </c>
    </row>
    <row r="15" spans="1:9" ht="80">
      <c r="A15" s="3">
        <v>14</v>
      </c>
      <c r="B15" s="3" t="s">
        <v>46</v>
      </c>
      <c r="C15" s="3" t="s">
        <v>58</v>
      </c>
      <c r="D15" s="34"/>
      <c r="E15" s="12" t="s">
        <v>31</v>
      </c>
      <c r="F15" s="12" t="s">
        <v>59</v>
      </c>
      <c r="G15" s="12" t="s">
        <v>60</v>
      </c>
      <c r="H15" s="12"/>
      <c r="I15" s="13">
        <v>0.8</v>
      </c>
    </row>
    <row r="16" spans="1:9" ht="28">
      <c r="A16" s="3">
        <v>16</v>
      </c>
      <c r="B16" s="3" t="s">
        <v>46</v>
      </c>
      <c r="C16" s="3" t="s">
        <v>61</v>
      </c>
      <c r="D16" s="33" t="s">
        <v>56</v>
      </c>
      <c r="E16" s="12" t="s">
        <v>31</v>
      </c>
      <c r="F16" s="12" t="s">
        <v>62</v>
      </c>
      <c r="G16" s="12"/>
      <c r="H16" s="12"/>
      <c r="I16" s="13">
        <v>1</v>
      </c>
    </row>
    <row r="17" spans="1:9" ht="16">
      <c r="A17" s="3">
        <v>18</v>
      </c>
      <c r="B17" s="3" t="s">
        <v>46</v>
      </c>
      <c r="C17" s="3" t="s">
        <v>63</v>
      </c>
      <c r="D17" s="35" t="s">
        <v>53</v>
      </c>
      <c r="E17" s="12" t="s">
        <v>25</v>
      </c>
      <c r="F17" s="12" t="s">
        <v>53</v>
      </c>
      <c r="G17" s="12"/>
      <c r="H17" s="12"/>
      <c r="I17" s="13">
        <v>0</v>
      </c>
    </row>
    <row r="18" spans="1:9" ht="16">
      <c r="A18" s="3">
        <v>20</v>
      </c>
      <c r="B18" s="3" t="s">
        <v>64</v>
      </c>
      <c r="C18" s="3" t="s">
        <v>65</v>
      </c>
      <c r="D18" s="33" t="s">
        <v>56</v>
      </c>
      <c r="E18" s="12" t="s">
        <v>31</v>
      </c>
      <c r="F18" s="12" t="s">
        <v>66</v>
      </c>
      <c r="G18" s="12"/>
      <c r="H18" s="12"/>
      <c r="I18" s="13">
        <v>1</v>
      </c>
    </row>
    <row r="19" spans="1:9">
      <c r="A19" s="3">
        <v>21</v>
      </c>
      <c r="B19" s="3" t="s">
        <v>64</v>
      </c>
      <c r="C19" s="3" t="s">
        <v>67</v>
      </c>
      <c r="D19" s="36" t="s">
        <v>68</v>
      </c>
      <c r="E19" s="12"/>
      <c r="F19" s="12"/>
      <c r="G19" s="12"/>
      <c r="H19" s="12"/>
      <c r="I19" s="12"/>
    </row>
    <row r="20" spans="1:9">
      <c r="A20" s="3">
        <v>22</v>
      </c>
      <c r="B20" s="3" t="s">
        <v>64</v>
      </c>
      <c r="C20" s="3" t="s">
        <v>69</v>
      </c>
      <c r="D20" s="37" t="s">
        <v>68</v>
      </c>
      <c r="E20" s="12"/>
      <c r="F20" s="12"/>
      <c r="G20" s="12"/>
      <c r="H20" s="12"/>
      <c r="I20" s="12"/>
    </row>
    <row r="21" spans="1:9">
      <c r="A21" s="3">
        <v>23</v>
      </c>
      <c r="B21" s="3" t="s">
        <v>64</v>
      </c>
      <c r="C21" s="3" t="s">
        <v>70</v>
      </c>
      <c r="D21" s="36" t="s">
        <v>68</v>
      </c>
      <c r="E21" s="12"/>
      <c r="F21" s="12"/>
      <c r="G21" s="12"/>
      <c r="H21" s="12"/>
      <c r="I21" s="12"/>
    </row>
    <row r="22" spans="1:9">
      <c r="A22" s="3">
        <v>24</v>
      </c>
      <c r="B22" s="3" t="s">
        <v>64</v>
      </c>
      <c r="C22" s="3" t="s">
        <v>70</v>
      </c>
      <c r="D22" s="37" t="s">
        <v>68</v>
      </c>
      <c r="E22" s="12"/>
      <c r="F22" s="12"/>
      <c r="G22" s="12"/>
      <c r="H22" s="12"/>
      <c r="I22" s="12"/>
    </row>
    <row r="23" spans="1:9" ht="16">
      <c r="A23" s="3">
        <v>25</v>
      </c>
      <c r="B23" s="3" t="s">
        <v>15</v>
      </c>
      <c r="C23" s="3" t="s">
        <v>71</v>
      </c>
      <c r="D23" s="36" t="s">
        <v>68</v>
      </c>
      <c r="E23" s="12" t="s">
        <v>25</v>
      </c>
      <c r="F23" s="12"/>
      <c r="G23" s="12"/>
      <c r="H23" s="12"/>
      <c r="I23" s="13">
        <v>0</v>
      </c>
    </row>
    <row r="24" spans="1:9" ht="16">
      <c r="A24" s="3">
        <v>26</v>
      </c>
      <c r="B24" s="3" t="s">
        <v>46</v>
      </c>
      <c r="C24" s="3" t="s">
        <v>72</v>
      </c>
      <c r="D24" s="31" t="s">
        <v>17</v>
      </c>
      <c r="E24" s="12" t="s">
        <v>18</v>
      </c>
      <c r="F24" s="12"/>
      <c r="G24" s="12" t="s">
        <v>73</v>
      </c>
      <c r="H24" s="12"/>
      <c r="I24" s="13">
        <v>0.2</v>
      </c>
    </row>
    <row r="25" spans="1:9">
      <c r="A25" s="3">
        <v>27</v>
      </c>
      <c r="B25" s="3" t="s">
        <v>15</v>
      </c>
      <c r="C25" s="3" t="s">
        <v>74</v>
      </c>
      <c r="D25" s="36" t="s">
        <v>68</v>
      </c>
      <c r="E25" s="12"/>
      <c r="F25" s="12"/>
      <c r="G25" s="12"/>
      <c r="H25" s="12"/>
      <c r="I25" s="12"/>
    </row>
    <row r="26" spans="1:9">
      <c r="A26" s="3">
        <v>28</v>
      </c>
      <c r="B26" s="3" t="s">
        <v>15</v>
      </c>
      <c r="C26" s="3" t="s">
        <v>75</v>
      </c>
      <c r="D26" s="33" t="s">
        <v>56</v>
      </c>
      <c r="E26" s="12"/>
      <c r="F26" s="12"/>
      <c r="G26" s="12"/>
      <c r="H26" s="12"/>
      <c r="I26" s="12"/>
    </row>
    <row r="27" spans="1:9">
      <c r="A27" s="3">
        <v>29</v>
      </c>
      <c r="B27" s="3" t="s">
        <v>15</v>
      </c>
      <c r="C27" s="3" t="s">
        <v>75</v>
      </c>
      <c r="D27" s="38" t="s">
        <v>56</v>
      </c>
      <c r="E27" s="12"/>
      <c r="F27" s="12"/>
      <c r="G27" s="12"/>
      <c r="H27" s="12"/>
      <c r="I27" s="12"/>
    </row>
    <row r="28" spans="1:9">
      <c r="A28" s="3">
        <v>30</v>
      </c>
      <c r="B28" s="3" t="s">
        <v>15</v>
      </c>
      <c r="C28" s="3" t="s">
        <v>76</v>
      </c>
      <c r="D28" s="31" t="s">
        <v>17</v>
      </c>
      <c r="E28" s="12"/>
      <c r="F28" s="12"/>
      <c r="G28" s="12"/>
      <c r="H28" s="12"/>
      <c r="I28" s="12"/>
    </row>
    <row r="29" spans="1:9">
      <c r="A29" s="3">
        <v>31</v>
      </c>
      <c r="B29" s="3" t="s">
        <v>15</v>
      </c>
      <c r="C29" s="3" t="s">
        <v>77</v>
      </c>
      <c r="D29" s="32" t="s">
        <v>17</v>
      </c>
      <c r="E29" s="12"/>
      <c r="F29" s="12"/>
      <c r="G29" s="12"/>
      <c r="H29" s="12"/>
      <c r="I29" s="12"/>
    </row>
    <row r="30" spans="1:9">
      <c r="A30" s="3">
        <v>32</v>
      </c>
      <c r="B30" s="3" t="s">
        <v>15</v>
      </c>
      <c r="C30" s="3" t="s">
        <v>78</v>
      </c>
      <c r="D30" s="31" t="s">
        <v>17</v>
      </c>
      <c r="E30" s="12"/>
      <c r="F30" s="12"/>
      <c r="G30" s="12"/>
      <c r="H30" s="12"/>
      <c r="I30" s="12"/>
    </row>
    <row r="31" spans="1:9" ht="32">
      <c r="A31" s="3">
        <v>33</v>
      </c>
      <c r="B31" s="3" t="s">
        <v>42</v>
      </c>
      <c r="C31" s="6" t="s">
        <v>79</v>
      </c>
      <c r="D31" s="39" t="s">
        <v>17</v>
      </c>
      <c r="E31" s="12" t="s">
        <v>31</v>
      </c>
      <c r="F31" s="12" t="s">
        <v>80</v>
      </c>
      <c r="G31" s="12" t="s">
        <v>81</v>
      </c>
      <c r="H31" s="12" t="s">
        <v>82</v>
      </c>
      <c r="I31" s="13">
        <v>0.6</v>
      </c>
    </row>
    <row r="32" spans="1:9" ht="64">
      <c r="A32" s="3">
        <v>34</v>
      </c>
      <c r="B32" s="3" t="s">
        <v>42</v>
      </c>
      <c r="C32" s="6" t="s">
        <v>83</v>
      </c>
      <c r="D32" s="40" t="s">
        <v>17</v>
      </c>
      <c r="E32" s="12" t="s">
        <v>31</v>
      </c>
      <c r="F32" s="12" t="s">
        <v>84</v>
      </c>
      <c r="G32" s="12"/>
      <c r="H32" s="12"/>
      <c r="I32" s="12"/>
    </row>
    <row r="33" spans="1:9" ht="32">
      <c r="A33" s="6">
        <v>35</v>
      </c>
      <c r="B33" s="6" t="s">
        <v>85</v>
      </c>
      <c r="C33" s="6" t="s">
        <v>86</v>
      </c>
      <c r="D33" s="39" t="s">
        <v>17</v>
      </c>
      <c r="E33" s="12" t="s">
        <v>31</v>
      </c>
      <c r="F33" s="12" t="s">
        <v>87</v>
      </c>
      <c r="G33" s="12" t="s">
        <v>88</v>
      </c>
      <c r="H33" s="12"/>
      <c r="I33" s="13">
        <v>0.6</v>
      </c>
    </row>
    <row r="34" spans="1:9" ht="16">
      <c r="A34" s="6">
        <v>36</v>
      </c>
      <c r="B34" s="6" t="s">
        <v>34</v>
      </c>
      <c r="C34" s="6" t="s">
        <v>89</v>
      </c>
      <c r="D34" s="41" t="s">
        <v>68</v>
      </c>
      <c r="E34" s="12" t="s">
        <v>25</v>
      </c>
      <c r="F34" s="12"/>
      <c r="G34" s="12"/>
      <c r="H34" s="12"/>
      <c r="I34" s="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K31"/>
  <sheetViews>
    <sheetView workbookViewId="0">
      <pane ySplit="2" topLeftCell="A3" activePane="bottomLeft" state="frozen"/>
      <selection pane="bottomLeft" activeCell="B12" sqref="B12"/>
    </sheetView>
  </sheetViews>
  <sheetFormatPr baseColWidth="10" defaultColWidth="8.83203125" defaultRowHeight="15"/>
  <cols>
    <col min="1" max="1" width="25" customWidth="1"/>
    <col min="2" max="2" width="42" customWidth="1"/>
    <col min="3" max="3" width="25" customWidth="1"/>
    <col min="4" max="4" width="10" customWidth="1"/>
    <col min="5" max="5" width="18" customWidth="1"/>
    <col min="6" max="6" width="16" customWidth="1"/>
    <col min="7" max="7" width="22" customWidth="1"/>
    <col min="8" max="8" width="12" customWidth="1"/>
    <col min="9" max="11" width="16" customWidth="1"/>
  </cols>
  <sheetData>
    <row r="1" spans="1:11" ht="18.75" customHeight="1">
      <c r="A1" s="22" t="s">
        <v>90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.75" customHeight="1">
      <c r="A2" s="24" t="s">
        <v>91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1">
      <c r="B4" s="26" t="s">
        <v>92</v>
      </c>
      <c r="C4" s="26"/>
      <c r="D4" s="26" t="s">
        <v>93</v>
      </c>
      <c r="E4" s="26"/>
      <c r="F4" s="26" t="s">
        <v>17</v>
      </c>
      <c r="G4" s="26"/>
      <c r="H4" s="26" t="s">
        <v>94</v>
      </c>
      <c r="I4" s="26"/>
      <c r="J4" s="26" t="s">
        <v>95</v>
      </c>
      <c r="K4" s="28"/>
    </row>
    <row r="5" spans="1:11" ht="28">
      <c r="B5" s="27">
        <f>COUNTA('Agenda detail'!$C$2:$C$34)</f>
        <v>33</v>
      </c>
      <c r="C5" s="27"/>
      <c r="D5" s="27" t="e">
        <f>COUNTIF('Agenda detail'!#REF!,1)</f>
        <v>#REF!</v>
      </c>
      <c r="E5" s="27"/>
      <c r="F5" s="27" t="e">
        <f>COUNTIF('Agenda detail'!#REF!,"Probíhá / řeší se")</f>
        <v>#REF!</v>
      </c>
      <c r="G5" s="27"/>
      <c r="H5" s="27" t="e">
        <f>COUNTIF('Agenda detail'!#REF!,"Quickwin")</f>
        <v>#REF!</v>
      </c>
      <c r="I5" s="27"/>
      <c r="J5" s="27" t="e">
        <f>COUNTIF('Agenda detail'!#REF!,"Komplex")</f>
        <v>#REF!</v>
      </c>
      <c r="K5" s="29"/>
    </row>
    <row r="7" spans="1:11" ht="17">
      <c r="A7" s="14" t="s">
        <v>96</v>
      </c>
      <c r="B7" s="14"/>
      <c r="C7" s="15"/>
      <c r="D7" s="14" t="s">
        <v>97</v>
      </c>
      <c r="E7" s="14"/>
      <c r="F7" s="15"/>
      <c r="G7" s="14" t="s">
        <v>98</v>
      </c>
      <c r="H7" s="14"/>
      <c r="I7" s="16"/>
      <c r="J7" s="16"/>
      <c r="K7" s="16"/>
    </row>
    <row r="8" spans="1:11">
      <c r="A8" s="7" t="s">
        <v>1</v>
      </c>
      <c r="B8" s="7" t="s">
        <v>99</v>
      </c>
      <c r="C8" s="8"/>
      <c r="D8" s="7" t="s">
        <v>8</v>
      </c>
      <c r="E8" s="7" t="s">
        <v>99</v>
      </c>
      <c r="F8" s="8"/>
      <c r="G8" s="7" t="s">
        <v>9</v>
      </c>
      <c r="H8" s="7" t="s">
        <v>99</v>
      </c>
      <c r="I8" s="1"/>
      <c r="J8" s="1"/>
      <c r="K8" s="1"/>
    </row>
    <row r="9" spans="1:11">
      <c r="A9" s="1" t="e">
        <f>'Agenda detail'!#REF!</f>
        <v>#REF!</v>
      </c>
      <c r="B9" s="1" t="e">
        <f>COUNTIF('Agenda detail'!#REF!,A9)</f>
        <v>#REF!</v>
      </c>
      <c r="C9" s="1"/>
      <c r="D9" s="1">
        <f>1</f>
        <v>1</v>
      </c>
      <c r="E9" s="1" t="e">
        <f>COUNTIF('Agenda detail'!#REF!,D9)</f>
        <v>#REF!</v>
      </c>
      <c r="F9" s="1"/>
      <c r="G9" s="1" t="e">
        <f>'Agenda detail'!#REF!</f>
        <v>#REF!</v>
      </c>
      <c r="H9" s="1" t="e">
        <f>COUNTIF('Agenda detail'!#REF!,G9)</f>
        <v>#REF!</v>
      </c>
      <c r="I9" s="1"/>
      <c r="J9" s="1"/>
      <c r="K9" s="1"/>
    </row>
    <row r="10" spans="1:11">
      <c r="A10" s="1" t="e">
        <f>'Agenda detail'!#REF!</f>
        <v>#REF!</v>
      </c>
      <c r="B10" s="1" t="e">
        <f>COUNTIF('Agenda detail'!#REF!,A10)</f>
        <v>#REF!</v>
      </c>
      <c r="C10" s="1"/>
      <c r="D10" s="1">
        <f>2</f>
        <v>2</v>
      </c>
      <c r="E10" s="1" t="e">
        <f>COUNTIF('Agenda detail'!#REF!,D10)</f>
        <v>#REF!</v>
      </c>
      <c r="F10" s="1"/>
      <c r="G10" s="1" t="e">
        <f>'Agenda detail'!#REF!</f>
        <v>#REF!</v>
      </c>
      <c r="H10" s="1" t="e">
        <f>COUNTIF('Agenda detail'!#REF!,G10)</f>
        <v>#REF!</v>
      </c>
      <c r="I10" s="1"/>
      <c r="J10" s="1"/>
      <c r="K10" s="1"/>
    </row>
    <row r="11" spans="1:11">
      <c r="A11" s="1" t="e">
        <f>'Agenda detail'!#REF!</f>
        <v>#REF!</v>
      </c>
      <c r="B11" s="1" t="e">
        <f>COUNTIF('Agenda detail'!#REF!,A11)</f>
        <v>#REF!</v>
      </c>
      <c r="C11" s="1"/>
      <c r="D11" s="1">
        <f>3</f>
        <v>3</v>
      </c>
      <c r="E11" s="1" t="e">
        <f>COUNTIF('Agenda detail'!#REF!,D11)</f>
        <v>#REF!</v>
      </c>
      <c r="F11" s="1"/>
      <c r="G11" s="1" t="e">
        <f>'Agenda detail'!#REF!</f>
        <v>#REF!</v>
      </c>
      <c r="H11" s="1" t="e">
        <f>COUNTIF('Agenda detail'!#REF!,G11)</f>
        <v>#REF!</v>
      </c>
      <c r="I11" s="1"/>
      <c r="J11" s="1"/>
      <c r="K11" s="1"/>
    </row>
    <row r="12" spans="1:11">
      <c r="A12" s="1" t="e">
        <f>'Agenda detail'!#REF!</f>
        <v>#REF!</v>
      </c>
      <c r="B12" s="1" t="e">
        <f>COUNTIF('Agenda detail'!#REF!,A12)</f>
        <v>#REF!</v>
      </c>
      <c r="C12" s="1"/>
      <c r="D12" s="1">
        <f>4</f>
        <v>4</v>
      </c>
      <c r="E12" s="1" t="e">
        <f>COUNTIF('Agenda detail'!#REF!,D12)</f>
        <v>#REF!</v>
      </c>
      <c r="F12" s="1"/>
      <c r="G12" s="1" t="s">
        <v>100</v>
      </c>
      <c r="H12" s="1" t="e">
        <f>COUNTBLANK('Agenda detail'!#REF!)</f>
        <v>#REF!</v>
      </c>
      <c r="I12" s="1"/>
      <c r="J12" s="1"/>
      <c r="K12" s="1"/>
    </row>
    <row r="13" spans="1:11">
      <c r="A13" s="1" t="e">
        <f>'Agenda detail'!#REF!</f>
        <v>#REF!</v>
      </c>
      <c r="B13" s="1" t="e">
        <f>COUNTIF('Agenda detail'!#REF!,A13)</f>
        <v>#REF!</v>
      </c>
      <c r="C13" s="1"/>
      <c r="D13" s="1" t="s">
        <v>101</v>
      </c>
      <c r="E13" s="1" t="e">
        <f>COUNTBLANK('Agenda detail'!#REF!)</f>
        <v>#REF!</v>
      </c>
      <c r="F13" s="1"/>
      <c r="G13" s="1"/>
      <c r="H13" s="1"/>
      <c r="I13" s="1"/>
      <c r="J13" s="1"/>
      <c r="K13" s="1"/>
    </row>
    <row r="14" spans="1:11">
      <c r="A14" s="1" t="e">
        <f>'Agenda detail'!#REF!</f>
        <v>#REF!</v>
      </c>
      <c r="B14" s="1" t="e">
        <f>COUNTIF('Agenda detail'!#REF!,A14)</f>
        <v>#REF!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 t="e">
        <f>'Agenda detail'!#REF!</f>
        <v>#REF!</v>
      </c>
      <c r="B15" s="1" t="e">
        <f>COUNTIF('Agenda detail'!#REF!,A15)</f>
        <v>#REF!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7" t="s">
        <v>102</v>
      </c>
      <c r="B20" s="18"/>
      <c r="C20" s="18"/>
      <c r="D20" s="18"/>
      <c r="E20" s="18"/>
      <c r="F20" s="19"/>
      <c r="G20" s="18" t="s">
        <v>103</v>
      </c>
      <c r="H20" s="18" t="s">
        <v>103</v>
      </c>
      <c r="I20" s="18" t="s">
        <v>103</v>
      </c>
      <c r="J20" s="18" t="s">
        <v>103</v>
      </c>
      <c r="K20" s="18" t="s">
        <v>103</v>
      </c>
    </row>
    <row r="21" spans="1:11" ht="18.75" customHeight="1">
      <c r="A21" s="9" t="s">
        <v>1</v>
      </c>
      <c r="B21" s="9" t="s">
        <v>3</v>
      </c>
      <c r="C21" s="9" t="s">
        <v>104</v>
      </c>
      <c r="D21" s="9" t="s">
        <v>8</v>
      </c>
      <c r="E21" s="9" t="s">
        <v>105</v>
      </c>
      <c r="G21" s="20" t="s">
        <v>106</v>
      </c>
      <c r="H21" s="20" t="s">
        <v>106</v>
      </c>
      <c r="I21" s="20" t="s">
        <v>106</v>
      </c>
      <c r="J21" s="20" t="s">
        <v>106</v>
      </c>
      <c r="K21" s="20" t="s">
        <v>106</v>
      </c>
    </row>
    <row r="22" spans="1:11" ht="18.75" customHeight="1">
      <c r="A22" s="10" t="e">
        <f>'Agenda detail'!#REF!</f>
        <v>#REF!</v>
      </c>
      <c r="B22" s="10" t="str">
        <f>'Agenda detail'!C33</f>
        <v>Řízení transformačního plánu / tracking</v>
      </c>
      <c r="C22" s="10" t="e">
        <f>'Agenda detail'!#REF!</f>
        <v>#REF!</v>
      </c>
      <c r="D22" s="10" t="e">
        <f>'Agenda detail'!#REF!</f>
        <v>#REF!</v>
      </c>
      <c r="E22" s="10" t="e">
        <f>'Agenda detail'!#REF!</f>
        <v>#REF!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</row>
    <row r="23" spans="1:11" ht="18.75" customHeight="1">
      <c r="A23" s="10" t="e">
        <f>'Agenda detail'!#REF!</f>
        <v>#REF!</v>
      </c>
      <c r="B23" s="10" t="str">
        <f>'Agenda detail'!C2</f>
        <v>Sběr obchodních požadavků</v>
      </c>
      <c r="C23" s="10" t="e">
        <f>'Agenda detail'!#REF!</f>
        <v>#REF!</v>
      </c>
      <c r="D23" s="10" t="e">
        <f>'Agenda detail'!#REF!</f>
        <v>#REF!</v>
      </c>
      <c r="E23" s="10" t="e">
        <f>'Agenda detail'!#REF!</f>
        <v>#REF!</v>
      </c>
      <c r="G23" s="21" t="s">
        <v>106</v>
      </c>
      <c r="H23" s="21" t="s">
        <v>106</v>
      </c>
      <c r="I23" s="21" t="s">
        <v>106</v>
      </c>
      <c r="J23" s="21" t="s">
        <v>106</v>
      </c>
      <c r="K23" s="21" t="s">
        <v>106</v>
      </c>
    </row>
    <row r="24" spans="1:11" ht="18.75" customHeight="1">
      <c r="A24" s="10" t="e">
        <f>'Agenda detail'!#REF!</f>
        <v>#REF!</v>
      </c>
      <c r="B24" s="10" t="str">
        <f>'Agenda detail'!C5</f>
        <v>Mapování stávajících procesů - "náběh zakázky"</v>
      </c>
      <c r="C24" s="10" t="e">
        <f>'Agenda detail'!#REF!</f>
        <v>#REF!</v>
      </c>
      <c r="D24" s="10" t="e">
        <f>'Agenda detail'!#REF!</f>
        <v>#REF!</v>
      </c>
      <c r="E24" s="10" t="e">
        <f>'Agenda detail'!#REF!</f>
        <v>#REF!</v>
      </c>
      <c r="G24" s="21" t="s">
        <v>106</v>
      </c>
      <c r="H24" s="21" t="s">
        <v>106</v>
      </c>
      <c r="I24" s="21" t="s">
        <v>106</v>
      </c>
      <c r="J24" s="21" t="s">
        <v>106</v>
      </c>
      <c r="K24" s="21" t="s">
        <v>106</v>
      </c>
    </row>
    <row r="25" spans="1:11" ht="28" customHeight="1">
      <c r="A25" s="10" t="e">
        <f>'Agenda detail'!#REF!</f>
        <v>#REF!</v>
      </c>
      <c r="B25" s="10" t="str">
        <f>'Agenda detail'!C6</f>
        <v>Vytvoření projektového portfolia</v>
      </c>
      <c r="C25" s="10" t="e">
        <f>'Agenda detail'!#REF!</f>
        <v>#REF!</v>
      </c>
      <c r="D25" s="10" t="e">
        <f>'Agenda detail'!#REF!</f>
        <v>#REF!</v>
      </c>
      <c r="E25" s="10" t="e">
        <f>'Agenda detail'!#REF!</f>
        <v>#REF!</v>
      </c>
    </row>
    <row r="26" spans="1:11" ht="28" customHeight="1">
      <c r="A26" s="10" t="e">
        <f>'Agenda detail'!#REF!</f>
        <v>#REF!</v>
      </c>
      <c r="B26" s="10" t="str">
        <f>'Agenda detail'!C8</f>
        <v>Projekty</v>
      </c>
      <c r="C26" s="10" t="e">
        <f>'Agenda detail'!#REF!</f>
        <v>#REF!</v>
      </c>
      <c r="D26" s="10" t="e">
        <f>'Agenda detail'!#REF!</f>
        <v>#REF!</v>
      </c>
      <c r="E26" s="10" t="e">
        <f>'Agenda detail'!#REF!</f>
        <v>#REF!</v>
      </c>
    </row>
    <row r="27" spans="1:11" ht="28" customHeight="1">
      <c r="A27" s="10" t="e">
        <f>'Agenda detail'!#REF!</f>
        <v>#REF!</v>
      </c>
      <c r="B27" s="10" t="str">
        <f>'Agenda detail'!C7</f>
        <v>Finanční řízení projektů / Business Case / Forecasting</v>
      </c>
      <c r="C27" s="10" t="e">
        <f>'Agenda detail'!#REF!</f>
        <v>#REF!</v>
      </c>
      <c r="D27" s="10" t="e">
        <f>'Agenda detail'!#REF!</f>
        <v>#REF!</v>
      </c>
      <c r="E27" s="10" t="e">
        <f>'Agenda detail'!#REF!</f>
        <v>#REF!</v>
      </c>
    </row>
    <row r="28" spans="1:11" ht="28" customHeight="1">
      <c r="A28" s="10" t="e">
        <f>'Agenda detail'!#REF!</f>
        <v>#REF!</v>
      </c>
      <c r="B28" s="10" t="str">
        <f>'Agenda detail'!C10</f>
        <v>Seznam procesů pro jednotlivá oddělení</v>
      </c>
      <c r="C28" s="10" t="e">
        <f>'Agenda detail'!#REF!</f>
        <v>#REF!</v>
      </c>
      <c r="D28" s="10" t="e">
        <f>'Agenda detail'!#REF!</f>
        <v>#REF!</v>
      </c>
      <c r="E28" s="10" t="e">
        <f>'Agenda detail'!#REF!</f>
        <v>#REF!</v>
      </c>
    </row>
    <row r="29" spans="1:11" ht="28" customHeight="1">
      <c r="A29" s="10" t="e">
        <f>'Agenda detail'!#REF!</f>
        <v>#REF!</v>
      </c>
      <c r="B29" s="10" t="str">
        <f>'Agenda detail'!C11</f>
        <v>Rozdělení Rolí a Kompetencí</v>
      </c>
      <c r="C29" s="10" t="e">
        <f>'Agenda detail'!#REF!</f>
        <v>#REF!</v>
      </c>
      <c r="D29" s="10" t="e">
        <f>'Agenda detail'!#REF!</f>
        <v>#REF!</v>
      </c>
      <c r="E29" s="10" t="e">
        <f>'Agenda detail'!#REF!</f>
        <v>#REF!</v>
      </c>
    </row>
    <row r="30" spans="1:11" ht="28" customHeight="1">
      <c r="A30" s="6" t="e">
        <f>'Agenda detail'!#REF!</f>
        <v>#REF!</v>
      </c>
      <c r="B30" s="6" t="str">
        <f>'Agenda detail'!C24</f>
        <v>Soupis a návrh interních směrnic</v>
      </c>
      <c r="C30" s="6" t="e">
        <f>'Agenda detail'!#REF!</f>
        <v>#REF!</v>
      </c>
      <c r="D30" s="6" t="e">
        <f>'Agenda detail'!#REF!</f>
        <v>#REF!</v>
      </c>
      <c r="E30" s="6" t="e">
        <f>'Agenda detail'!#REF!</f>
        <v>#REF!</v>
      </c>
    </row>
    <row r="31" spans="1:11" ht="28" customHeight="1">
      <c r="A31" s="6" t="e">
        <f>'Agenda detail'!#REF!</f>
        <v>#REF!</v>
      </c>
      <c r="B31" s="6" t="str">
        <f>'Agenda detail'!C34</f>
        <v>Management reporting &amp; controlling</v>
      </c>
      <c r="C31" s="6" t="e">
        <f>'Agenda detail'!#REF!</f>
        <v>#REF!</v>
      </c>
      <c r="D31" s="6" t="e">
        <f>'Agenda detail'!#REF!</f>
        <v>#REF!</v>
      </c>
      <c r="E31" s="6" t="e">
        <f>'Agenda detail'!#REF!</f>
        <v>#REF!</v>
      </c>
    </row>
  </sheetData>
  <mergeCells count="17">
    <mergeCell ref="A1:K1"/>
    <mergeCell ref="A2:K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A7:C7"/>
    <mergeCell ref="D7:F7"/>
    <mergeCell ref="G7:K7"/>
    <mergeCell ref="A20:K20"/>
    <mergeCell ref="G21:K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14" sqref="B14"/>
    </sheetView>
  </sheetViews>
  <sheetFormatPr baseColWidth="10" defaultColWidth="8.83203125" defaultRowHeight="15"/>
  <cols>
    <col min="1" max="1" width="26" customWidth="1"/>
    <col min="2" max="2" width="80" customWidth="1"/>
  </cols>
  <sheetData>
    <row r="1" spans="1:2" ht="16">
      <c r="A1" s="2" t="s">
        <v>107</v>
      </c>
      <c r="B1" s="2" t="s">
        <v>108</v>
      </c>
    </row>
    <row r="2" spans="1:2" ht="16">
      <c r="A2" s="4" t="s">
        <v>109</v>
      </c>
      <c r="B2" s="4" t="s">
        <v>110</v>
      </c>
    </row>
    <row r="3" spans="1:2" ht="32">
      <c r="A3" s="4" t="s">
        <v>4</v>
      </c>
      <c r="B3" s="4" t="s">
        <v>111</v>
      </c>
    </row>
    <row r="4" spans="1:2" ht="16">
      <c r="A4" s="4" t="s">
        <v>5</v>
      </c>
      <c r="B4" s="4" t="s">
        <v>112</v>
      </c>
    </row>
    <row r="5" spans="1:2" ht="16">
      <c r="A5" s="4" t="s">
        <v>6</v>
      </c>
      <c r="B5" s="4" t="s">
        <v>113</v>
      </c>
    </row>
    <row r="6" spans="1:2" ht="32">
      <c r="A6" s="4" t="s">
        <v>7</v>
      </c>
      <c r="B6" s="4" t="s">
        <v>114</v>
      </c>
    </row>
    <row r="7" spans="1:2" ht="16">
      <c r="A7" s="4" t="s">
        <v>8</v>
      </c>
      <c r="B7" s="4" t="s">
        <v>115</v>
      </c>
    </row>
    <row r="8" spans="1:2" ht="32">
      <c r="A8" s="4" t="s">
        <v>9</v>
      </c>
      <c r="B8" s="4" t="s">
        <v>116</v>
      </c>
    </row>
    <row r="9" spans="1:2" ht="32">
      <c r="A9" s="4" t="s">
        <v>117</v>
      </c>
      <c r="B9" s="4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CF9584C55DCF64D835C6122F70E5B22" ma:contentTypeVersion="3" ma:contentTypeDescription="Vytvoří nový dokument" ma:contentTypeScope="" ma:versionID="186712962cf7ea21451ef542214c040b">
  <xsd:schema xmlns:xsd="http://www.w3.org/2001/XMLSchema" xmlns:xs="http://www.w3.org/2001/XMLSchema" xmlns:p="http://schemas.microsoft.com/office/2006/metadata/properties" xmlns:ns2="88eecd8e-22c8-4647-b473-6f8d4769a028" targetNamespace="http://schemas.microsoft.com/office/2006/metadata/properties" ma:root="true" ma:fieldsID="cb63478bf30390c6121b6a48ea82cb44" ns2:_="">
    <xsd:import namespace="88eecd8e-22c8-4647-b473-6f8d4769a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ecd8e-22c8-4647-b473-6f8d4769a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D5340C-C7F8-4464-9523-B687A62228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AA50A9-A4C1-42D4-ABEE-5380525AC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ecd8e-22c8-4647-b473-6f8d4769a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0316EA-1CAC-42AA-9C7D-45019B5C3F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Agenda detail</vt:lpstr>
      <vt:lpstr>Dashboard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Tereza Kolarova</cp:lastModifiedBy>
  <cp:revision/>
  <dcterms:created xsi:type="dcterms:W3CDTF">2026-09-20T19:06:36Z</dcterms:created>
  <dcterms:modified xsi:type="dcterms:W3CDTF">2026-10-23T12:05:04Z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0x010100ECF9584C55DCF64D835C6122F70E5B22</vt:lpwstr>
  </property>
  <property fmtid="{D5CDD505-2E9C-101B-9397-08002B2CF9AE}" pid="3" name="MediaServiceImageTags">
    <vt:lpwstr/>
  </property>
</Properties>
</file>